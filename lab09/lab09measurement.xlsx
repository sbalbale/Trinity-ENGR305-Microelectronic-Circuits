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anb\Documents\Trinity-ENGR305-Microelectronic-Circuits\lab09\"/>
    </mc:Choice>
  </mc:AlternateContent>
  <xr:revisionPtr revIDLastSave="0" documentId="13_ncr:1_{6DBB24B3-9858-4961-A686-649C14442BCC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M27" i="1"/>
  <c r="V7" i="1"/>
  <c r="T7" i="1"/>
  <c r="O7" i="1"/>
  <c r="M7" i="1"/>
  <c r="F7" i="1"/>
  <c r="H7" i="1"/>
</calcChain>
</file>

<file path=xl/sharedStrings.xml><?xml version="1.0" encoding="utf-8"?>
<sst xmlns="http://schemas.openxmlformats.org/spreadsheetml/2006/main" count="130" uniqueCount="42">
  <si>
    <t>Calculated</t>
  </si>
  <si>
    <t>Actual</t>
  </si>
  <si>
    <t>Voltages (V)</t>
  </si>
  <si>
    <t>V+</t>
  </si>
  <si>
    <t>V-</t>
  </si>
  <si>
    <t>Rsig</t>
  </si>
  <si>
    <t>Rg</t>
  </si>
  <si>
    <t>Rs</t>
  </si>
  <si>
    <t>Rl</t>
  </si>
  <si>
    <t>Vo</t>
  </si>
  <si>
    <t>C1</t>
  </si>
  <si>
    <t>C2</t>
  </si>
  <si>
    <t>Cs</t>
  </si>
  <si>
    <t>Resistors (Ω)</t>
  </si>
  <si>
    <t>Capacitors (uF)</t>
  </si>
  <si>
    <t>10k</t>
  </si>
  <si>
    <t>12.1k</t>
  </si>
  <si>
    <t>1M</t>
  </si>
  <si>
    <t>5.6k</t>
  </si>
  <si>
    <t>9.67k</t>
  </si>
  <si>
    <t>Rd (k)</t>
  </si>
  <si>
    <t>Vsig</t>
  </si>
  <si>
    <t>Vg</t>
  </si>
  <si>
    <t>Vs</t>
  </si>
  <si>
    <t>Vd</t>
  </si>
  <si>
    <t>DC</t>
  </si>
  <si>
    <t>9.6k</t>
  </si>
  <si>
    <t>AC</t>
  </si>
  <si>
    <t>Rl = 1M ohm</t>
  </si>
  <si>
    <t>20mV pk-pk</t>
  </si>
  <si>
    <t>1.013M</t>
  </si>
  <si>
    <t>Rl = 10k ohm</t>
  </si>
  <si>
    <t>9.4k</t>
  </si>
  <si>
    <t>10.4 V pk-pk</t>
  </si>
  <si>
    <t>6.8V pk-pk</t>
  </si>
  <si>
    <t>Rl = 4.7k ohm</t>
  </si>
  <si>
    <t>4.7k</t>
  </si>
  <si>
    <t>4.57k</t>
  </si>
  <si>
    <t>5.12 V pk-pk</t>
  </si>
  <si>
    <t>What Happens when Vsig increases amplitude</t>
  </si>
  <si>
    <t>Distortion starts at 100m v pk - pk</t>
  </si>
  <si>
    <t>at 1V the wave flattens out at the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</si>
</sst>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V42"/>
  <sheetViews>
    <sheetView tabSelected="1" topLeftCell="A5" workbookViewId="0">
      <selection activeCell="C34" sqref="C34"/>
    </sheetView>
  </sheetViews>
  <sheetFormatPr defaultRowHeight="15" x14ac:dyDescent="0.25"/>
  <sheetData>
    <row r="3" spans="3:22" x14ac:dyDescent="0.25">
      <c r="C3" s="1" t="s">
        <v>25</v>
      </c>
      <c r="D3" s="1"/>
      <c r="E3" s="1"/>
      <c r="F3" s="1"/>
      <c r="G3" s="1"/>
      <c r="H3" s="1"/>
      <c r="J3" s="1" t="s">
        <v>27</v>
      </c>
      <c r="K3" s="1" t="s">
        <v>31</v>
      </c>
      <c r="L3" s="1"/>
      <c r="M3" s="1"/>
      <c r="N3" s="1"/>
      <c r="O3" s="1"/>
      <c r="Q3" s="1" t="s">
        <v>27</v>
      </c>
      <c r="R3" s="1" t="s">
        <v>28</v>
      </c>
      <c r="S3" s="1"/>
      <c r="T3" s="1"/>
      <c r="U3" s="1"/>
      <c r="V3" s="1"/>
    </row>
    <row r="4" spans="3:22" x14ac:dyDescent="0.25">
      <c r="C4" s="1" t="s">
        <v>13</v>
      </c>
      <c r="D4" s="1"/>
      <c r="E4" s="1"/>
      <c r="F4" s="1"/>
      <c r="G4" s="1"/>
      <c r="H4" s="1"/>
      <c r="J4" s="1" t="s">
        <v>13</v>
      </c>
      <c r="K4" s="1"/>
      <c r="L4" s="1"/>
      <c r="M4" s="1"/>
      <c r="N4" s="1"/>
      <c r="O4" s="1"/>
      <c r="Q4" s="1" t="s">
        <v>13</v>
      </c>
      <c r="R4" s="1"/>
      <c r="S4" s="1"/>
      <c r="T4" s="1"/>
      <c r="U4" s="1"/>
      <c r="V4" s="1"/>
    </row>
    <row r="5" spans="3:22" x14ac:dyDescent="0.25">
      <c r="C5" s="1"/>
      <c r="D5" s="1" t="s">
        <v>5</v>
      </c>
      <c r="E5" s="1" t="s">
        <v>6</v>
      </c>
      <c r="F5" s="1" t="s">
        <v>7</v>
      </c>
      <c r="G5" s="1" t="s">
        <v>8</v>
      </c>
      <c r="H5" s="1" t="s">
        <v>20</v>
      </c>
      <c r="J5" s="1"/>
      <c r="K5" s="1" t="s">
        <v>5</v>
      </c>
      <c r="L5" s="1" t="s">
        <v>6</v>
      </c>
      <c r="M5" s="1" t="s">
        <v>7</v>
      </c>
      <c r="N5" s="1" t="s">
        <v>8</v>
      </c>
      <c r="O5" s="1" t="s">
        <v>20</v>
      </c>
      <c r="Q5" s="1"/>
      <c r="R5" s="1" t="s">
        <v>5</v>
      </c>
      <c r="S5" s="1" t="s">
        <v>6</v>
      </c>
      <c r="T5" s="1" t="s">
        <v>7</v>
      </c>
      <c r="U5" s="1" t="s">
        <v>8</v>
      </c>
      <c r="V5" s="1" t="s">
        <v>20</v>
      </c>
    </row>
    <row r="6" spans="3:22" x14ac:dyDescent="0.25">
      <c r="C6" s="1" t="s">
        <v>0</v>
      </c>
      <c r="D6" s="1">
        <v>50</v>
      </c>
      <c r="E6" s="1" t="s">
        <v>15</v>
      </c>
      <c r="F6" s="1" t="s">
        <v>16</v>
      </c>
      <c r="G6" s="1" t="s">
        <v>15</v>
      </c>
      <c r="H6" s="1" t="s">
        <v>18</v>
      </c>
      <c r="J6" s="1" t="s">
        <v>0</v>
      </c>
      <c r="K6" s="1">
        <v>50</v>
      </c>
      <c r="L6" s="1" t="s">
        <v>15</v>
      </c>
      <c r="M6" s="1" t="s">
        <v>16</v>
      </c>
      <c r="N6" s="1" t="s">
        <v>15</v>
      </c>
      <c r="O6" s="1" t="s">
        <v>18</v>
      </c>
      <c r="Q6" s="1" t="s">
        <v>0</v>
      </c>
      <c r="R6" s="1">
        <v>50</v>
      </c>
      <c r="S6" s="1" t="s">
        <v>15</v>
      </c>
      <c r="T6" s="1" t="s">
        <v>16</v>
      </c>
      <c r="U6" s="1" t="s">
        <v>17</v>
      </c>
      <c r="V6" s="1" t="s">
        <v>18</v>
      </c>
    </row>
    <row r="7" spans="3:22" x14ac:dyDescent="0.25">
      <c r="C7" s="1" t="s">
        <v>1</v>
      </c>
      <c r="D7" s="1">
        <v>46.1</v>
      </c>
      <c r="E7" s="1" t="s">
        <v>19</v>
      </c>
      <c r="F7" s="1">
        <f>(9.47+1.97+0.667)</f>
        <v>12.107000000000001</v>
      </c>
      <c r="G7" s="1" t="s">
        <v>26</v>
      </c>
      <c r="H7" s="1">
        <f>(4.56+1.09)</f>
        <v>5.6499999999999995</v>
      </c>
      <c r="J7" s="1" t="s">
        <v>1</v>
      </c>
      <c r="K7" s="1">
        <v>46.1</v>
      </c>
      <c r="L7" s="1" t="s">
        <v>19</v>
      </c>
      <c r="M7" s="1">
        <f>(9.47+1.97+0.667)</f>
        <v>12.107000000000001</v>
      </c>
      <c r="N7" s="1" t="s">
        <v>32</v>
      </c>
      <c r="O7" s="1">
        <f>(4.56+1.09)</f>
        <v>5.6499999999999995</v>
      </c>
      <c r="Q7" s="1" t="s">
        <v>1</v>
      </c>
      <c r="R7" s="1">
        <v>46.1</v>
      </c>
      <c r="S7" s="1" t="s">
        <v>19</v>
      </c>
      <c r="T7" s="1">
        <f>(9.47+1.97+0.667)</f>
        <v>12.107000000000001</v>
      </c>
      <c r="U7" s="1" t="s">
        <v>30</v>
      </c>
      <c r="V7" s="1">
        <f>(4.56+1.09)</f>
        <v>5.6499999999999995</v>
      </c>
    </row>
    <row r="8" spans="3:22" x14ac:dyDescent="0.25"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Q8" s="1"/>
      <c r="R8" s="1"/>
      <c r="S8" s="1"/>
      <c r="T8" s="1"/>
      <c r="U8" s="1"/>
      <c r="V8" s="1"/>
    </row>
    <row r="9" spans="3:22" x14ac:dyDescent="0.25">
      <c r="C9" s="1" t="s">
        <v>14</v>
      </c>
      <c r="D9" t="s">
        <v>10</v>
      </c>
      <c r="E9" t="s">
        <v>11</v>
      </c>
      <c r="F9" s="1" t="s">
        <v>12</v>
      </c>
      <c r="G9" s="1"/>
      <c r="H9" s="1"/>
      <c r="J9" s="1" t="s">
        <v>14</v>
      </c>
      <c r="K9" t="s">
        <v>10</v>
      </c>
      <c r="L9" t="s">
        <v>11</v>
      </c>
      <c r="M9" s="1" t="s">
        <v>12</v>
      </c>
      <c r="N9" s="1"/>
      <c r="O9" s="1"/>
      <c r="Q9" s="1" t="s">
        <v>14</v>
      </c>
      <c r="R9" t="s">
        <v>10</v>
      </c>
      <c r="S9" t="s">
        <v>11</v>
      </c>
      <c r="T9" s="1" t="s">
        <v>12</v>
      </c>
      <c r="U9" s="1"/>
      <c r="V9" s="1"/>
    </row>
    <row r="10" spans="3:22" x14ac:dyDescent="0.25">
      <c r="C10" t="s">
        <v>0</v>
      </c>
      <c r="D10">
        <v>47</v>
      </c>
      <c r="E10">
        <v>47</v>
      </c>
      <c r="F10" s="1">
        <v>47</v>
      </c>
      <c r="G10" s="1"/>
      <c r="H10" s="1"/>
      <c r="J10" t="s">
        <v>0</v>
      </c>
      <c r="K10">
        <v>47</v>
      </c>
      <c r="L10">
        <v>47</v>
      </c>
      <c r="M10" s="1">
        <v>47</v>
      </c>
      <c r="N10" s="1"/>
      <c r="O10" s="1"/>
      <c r="Q10" t="s">
        <v>0</v>
      </c>
      <c r="R10">
        <v>47</v>
      </c>
      <c r="S10">
        <v>47</v>
      </c>
      <c r="T10" s="1">
        <v>47</v>
      </c>
      <c r="U10" s="1"/>
      <c r="V10" s="1"/>
    </row>
    <row r="11" spans="3:22" x14ac:dyDescent="0.25">
      <c r="C11" s="1" t="s">
        <v>1</v>
      </c>
      <c r="D11">
        <v>50.661000000000001</v>
      </c>
      <c r="E11">
        <v>50.744</v>
      </c>
      <c r="F11" s="1">
        <v>51.76</v>
      </c>
      <c r="G11" s="1"/>
      <c r="H11" s="1"/>
      <c r="J11" s="1" t="s">
        <v>1</v>
      </c>
      <c r="K11">
        <v>50.661000000000001</v>
      </c>
      <c r="L11">
        <v>50.744</v>
      </c>
      <c r="M11" s="1">
        <v>51.76</v>
      </c>
      <c r="N11" s="1"/>
      <c r="O11" s="1"/>
      <c r="Q11" s="1" t="s">
        <v>1</v>
      </c>
      <c r="R11">
        <v>50.661000000000001</v>
      </c>
      <c r="S11">
        <v>50.744</v>
      </c>
      <c r="T11" s="1">
        <v>51.76</v>
      </c>
      <c r="U11" s="1"/>
      <c r="V11" s="1"/>
    </row>
    <row r="12" spans="3:22" x14ac:dyDescent="0.25">
      <c r="F12" s="1"/>
      <c r="G12" s="1"/>
      <c r="H12" s="1"/>
      <c r="M12" s="1"/>
      <c r="N12" s="1"/>
      <c r="O12" s="1"/>
      <c r="T12" s="1"/>
      <c r="U12" s="1"/>
      <c r="V12" s="1"/>
    </row>
    <row r="13" spans="3:22" x14ac:dyDescent="0.25">
      <c r="F13" s="1"/>
      <c r="G13" s="1"/>
      <c r="H13" s="1"/>
      <c r="M13" s="1"/>
      <c r="N13" s="1"/>
      <c r="O13" s="1"/>
      <c r="T13" s="1"/>
      <c r="U13" s="1"/>
      <c r="V13" s="1"/>
    </row>
    <row r="14" spans="3:22" x14ac:dyDescent="0.25">
      <c r="C14" s="1" t="s">
        <v>2</v>
      </c>
      <c r="D14" s="1"/>
      <c r="E14" s="1"/>
      <c r="F14" s="1"/>
      <c r="G14" s="1"/>
      <c r="H14" s="1"/>
      <c r="J14" s="1" t="s">
        <v>2</v>
      </c>
      <c r="K14" s="1"/>
      <c r="L14" s="1"/>
      <c r="M14" s="1"/>
      <c r="N14" s="1"/>
      <c r="O14" s="1"/>
      <c r="Q14" s="1" t="s">
        <v>2</v>
      </c>
      <c r="R14" s="1"/>
      <c r="S14" s="1"/>
      <c r="T14" s="1"/>
      <c r="U14" s="1"/>
      <c r="V14" s="1"/>
    </row>
    <row r="15" spans="3:22" x14ac:dyDescent="0.25">
      <c r="C15" s="1"/>
      <c r="D15" s="1" t="s">
        <v>0</v>
      </c>
      <c r="E15" s="1" t="s">
        <v>1</v>
      </c>
      <c r="F15" s="1"/>
      <c r="G15" s="1"/>
      <c r="H15" s="1"/>
      <c r="J15" s="1"/>
      <c r="K15" s="1" t="s">
        <v>0</v>
      </c>
      <c r="L15" s="1" t="s">
        <v>1</v>
      </c>
      <c r="M15" s="1"/>
      <c r="N15" s="1"/>
      <c r="O15" s="1"/>
      <c r="Q15" s="1"/>
      <c r="R15" s="1" t="s">
        <v>0</v>
      </c>
      <c r="S15" s="1" t="s">
        <v>1</v>
      </c>
      <c r="T15" s="1"/>
      <c r="U15" s="1"/>
      <c r="V15" s="1"/>
    </row>
    <row r="16" spans="3:22" x14ac:dyDescent="0.25">
      <c r="C16" s="1" t="s">
        <v>3</v>
      </c>
      <c r="D16" s="1">
        <v>15</v>
      </c>
      <c r="E16" s="1">
        <v>15.036</v>
      </c>
      <c r="F16" s="1"/>
      <c r="G16" s="1"/>
      <c r="H16" s="1"/>
      <c r="J16" s="1" t="s">
        <v>3</v>
      </c>
      <c r="K16" s="1">
        <v>15</v>
      </c>
      <c r="L16" s="1">
        <v>15.036</v>
      </c>
      <c r="M16" s="1"/>
      <c r="N16" s="1"/>
      <c r="O16" s="1"/>
      <c r="Q16" s="1" t="s">
        <v>3</v>
      </c>
      <c r="R16" s="1">
        <v>15</v>
      </c>
      <c r="S16" s="1">
        <v>15.036</v>
      </c>
      <c r="T16" s="1"/>
      <c r="U16" s="1"/>
      <c r="V16" s="1"/>
    </row>
    <row r="17" spans="3:22" x14ac:dyDescent="0.25">
      <c r="C17" s="1" t="s">
        <v>4</v>
      </c>
      <c r="D17" s="1">
        <v>-15</v>
      </c>
      <c r="E17" s="1">
        <v>-15.079000000000001</v>
      </c>
      <c r="F17" s="1"/>
      <c r="G17" s="1"/>
      <c r="H17" s="1"/>
      <c r="J17" s="1" t="s">
        <v>4</v>
      </c>
      <c r="K17" s="1">
        <v>-15</v>
      </c>
      <c r="L17" s="1">
        <v>-15.079000000000001</v>
      </c>
      <c r="M17" s="1"/>
      <c r="N17" s="1"/>
      <c r="O17" s="1"/>
      <c r="Q17" s="1" t="s">
        <v>4</v>
      </c>
      <c r="R17" s="1">
        <v>-15</v>
      </c>
      <c r="S17" s="1">
        <v>-15.079000000000001</v>
      </c>
      <c r="T17" s="1"/>
      <c r="U17" s="1"/>
      <c r="V17" s="1"/>
    </row>
    <row r="18" spans="3:22" x14ac:dyDescent="0.25">
      <c r="C18" s="1" t="s">
        <v>21</v>
      </c>
      <c r="D18" s="1"/>
      <c r="E18" s="1"/>
      <c r="F18" s="1"/>
      <c r="G18" s="1"/>
      <c r="H18" s="1"/>
      <c r="J18" s="1" t="s">
        <v>21</v>
      </c>
      <c r="K18" s="1" t="s">
        <v>29</v>
      </c>
      <c r="L18" s="1"/>
      <c r="M18" s="1"/>
      <c r="N18" s="1"/>
      <c r="O18" s="1"/>
      <c r="Q18" s="1" t="s">
        <v>21</v>
      </c>
      <c r="R18" s="1" t="s">
        <v>29</v>
      </c>
      <c r="S18" s="1"/>
      <c r="T18" s="1"/>
      <c r="U18" s="1"/>
      <c r="V18" s="1"/>
    </row>
    <row r="19" spans="3:22" x14ac:dyDescent="0.25">
      <c r="C19" s="1" t="s">
        <v>9</v>
      </c>
      <c r="D19" s="1"/>
      <c r="E19" s="1">
        <v>2.92</v>
      </c>
      <c r="F19" s="1"/>
      <c r="G19" s="1"/>
      <c r="H19" s="1"/>
      <c r="J19" s="1" t="s">
        <v>9</v>
      </c>
      <c r="K19" s="1" t="s">
        <v>34</v>
      </c>
      <c r="L19" s="1"/>
      <c r="M19" s="1"/>
      <c r="N19" s="1"/>
      <c r="O19" s="1"/>
      <c r="Q19" s="1" t="s">
        <v>9</v>
      </c>
      <c r="R19" s="1" t="s">
        <v>33</v>
      </c>
      <c r="S19" s="1"/>
      <c r="T19" s="1"/>
      <c r="U19" s="1"/>
      <c r="V19" s="1"/>
    </row>
    <row r="20" spans="3:22" x14ac:dyDescent="0.25">
      <c r="C20" s="1" t="s">
        <v>22</v>
      </c>
      <c r="D20" s="1">
        <v>0</v>
      </c>
      <c r="E20" s="1">
        <v>0</v>
      </c>
      <c r="F20" s="1"/>
      <c r="G20" s="1"/>
      <c r="H20" s="1"/>
      <c r="J20" s="1"/>
      <c r="K20" s="1"/>
      <c r="L20" s="1"/>
      <c r="M20" s="1"/>
      <c r="N20" s="1"/>
      <c r="O20" s="1"/>
      <c r="Q20" s="1"/>
      <c r="R20" s="1"/>
      <c r="S20" s="1"/>
      <c r="T20" s="1"/>
      <c r="U20" s="1"/>
      <c r="V20" s="1"/>
    </row>
    <row r="21" spans="3:22" x14ac:dyDescent="0.25">
      <c r="C21" s="1" t="s">
        <v>23</v>
      </c>
      <c r="D21" s="1">
        <v>-2.8109999999999999</v>
      </c>
      <c r="E21" s="1">
        <v>-2.2559999999999998</v>
      </c>
      <c r="F21" s="1"/>
      <c r="G21" s="1"/>
      <c r="H21" s="1"/>
      <c r="J21" s="1"/>
      <c r="K21" s="1"/>
      <c r="L21" s="1"/>
      <c r="M21" s="1"/>
      <c r="N21" s="1"/>
      <c r="O21" s="1"/>
      <c r="Q21" s="1"/>
      <c r="R21" s="1"/>
      <c r="S21" s="1"/>
      <c r="T21" s="1"/>
      <c r="U21" s="1"/>
      <c r="V21" s="1"/>
    </row>
    <row r="22" spans="3:22" x14ac:dyDescent="0.25">
      <c r="C22" s="1" t="s">
        <v>24</v>
      </c>
      <c r="D22" s="1">
        <v>9.423</v>
      </c>
      <c r="E22" s="1">
        <v>7.54</v>
      </c>
      <c r="J22" s="1"/>
      <c r="K22" s="1"/>
      <c r="L22" s="1"/>
    </row>
    <row r="23" spans="3:22" x14ac:dyDescent="0.25">
      <c r="J23" s="1" t="s">
        <v>27</v>
      </c>
      <c r="K23" s="1" t="s">
        <v>35</v>
      </c>
      <c r="L23" s="1"/>
      <c r="M23" s="1"/>
      <c r="N23" s="1"/>
      <c r="O23" s="1"/>
    </row>
    <row r="24" spans="3:22" x14ac:dyDescent="0.25">
      <c r="J24" s="1" t="s">
        <v>13</v>
      </c>
      <c r="K24" s="1"/>
      <c r="L24" s="1"/>
      <c r="M24" s="1"/>
      <c r="N24" s="1"/>
      <c r="O24" s="1"/>
    </row>
    <row r="25" spans="3:22" x14ac:dyDescent="0.25">
      <c r="C25" s="1" t="s">
        <v>39</v>
      </c>
      <c r="J25" s="1"/>
      <c r="K25" s="1" t="s">
        <v>5</v>
      </c>
      <c r="L25" s="1" t="s">
        <v>6</v>
      </c>
      <c r="M25" s="1" t="s">
        <v>7</v>
      </c>
      <c r="N25" s="1" t="s">
        <v>8</v>
      </c>
      <c r="O25" s="1" t="s">
        <v>20</v>
      </c>
    </row>
    <row r="26" spans="3:22" x14ac:dyDescent="0.25">
      <c r="C26" s="1" t="s">
        <v>40</v>
      </c>
      <c r="J26" s="1" t="s">
        <v>0</v>
      </c>
      <c r="K26" s="1">
        <v>50</v>
      </c>
      <c r="L26" s="1" t="s">
        <v>15</v>
      </c>
      <c r="M26" s="1" t="s">
        <v>16</v>
      </c>
      <c r="N26" s="1" t="s">
        <v>36</v>
      </c>
      <c r="O26" s="1" t="s">
        <v>18</v>
      </c>
    </row>
    <row r="27" spans="3:22" x14ac:dyDescent="0.25">
      <c r="C27" s="1" t="s">
        <v>41</v>
      </c>
      <c r="J27" s="1" t="s">
        <v>1</v>
      </c>
      <c r="K27" s="1">
        <v>46.1</v>
      </c>
      <c r="L27" s="1" t="s">
        <v>19</v>
      </c>
      <c r="M27" s="1">
        <f>(9.47+1.97+0.667)</f>
        <v>12.107000000000001</v>
      </c>
      <c r="N27" s="1" t="s">
        <v>37</v>
      </c>
      <c r="O27" s="1">
        <f>(4.56+1.09)</f>
        <v>5.6499999999999995</v>
      </c>
    </row>
    <row r="28" spans="3:22" x14ac:dyDescent="0.25">
      <c r="J28" s="1"/>
      <c r="K28" s="1"/>
      <c r="L28" s="1"/>
      <c r="M28" s="1"/>
      <c r="N28" s="1"/>
      <c r="O28" s="1"/>
    </row>
    <row r="29" spans="3:22" x14ac:dyDescent="0.25">
      <c r="J29" s="1" t="s">
        <v>14</v>
      </c>
      <c r="K29" t="s">
        <v>10</v>
      </c>
      <c r="L29" t="s">
        <v>11</v>
      </c>
      <c r="M29" s="1" t="s">
        <v>12</v>
      </c>
      <c r="N29" s="1"/>
      <c r="O29" s="1"/>
    </row>
    <row r="30" spans="3:22" x14ac:dyDescent="0.25">
      <c r="J30" t="s">
        <v>0</v>
      </c>
      <c r="K30">
        <v>47</v>
      </c>
      <c r="L30">
        <v>47</v>
      </c>
      <c r="M30" s="1">
        <v>47</v>
      </c>
      <c r="N30" s="1"/>
      <c r="O30" s="1"/>
    </row>
    <row r="31" spans="3:22" x14ac:dyDescent="0.25">
      <c r="J31" s="1" t="s">
        <v>1</v>
      </c>
      <c r="K31">
        <v>50.661000000000001</v>
      </c>
      <c r="L31">
        <v>50.744</v>
      </c>
      <c r="M31" s="1">
        <v>51.76</v>
      </c>
      <c r="N31" s="1"/>
      <c r="O31" s="1"/>
    </row>
    <row r="32" spans="3:22" x14ac:dyDescent="0.25">
      <c r="M32" s="1"/>
      <c r="N32" s="1"/>
      <c r="O32" s="1"/>
    </row>
    <row r="33" spans="10:15" x14ac:dyDescent="0.25">
      <c r="M33" s="1"/>
      <c r="N33" s="1"/>
      <c r="O33" s="1"/>
    </row>
    <row r="34" spans="10:15" x14ac:dyDescent="0.25">
      <c r="J34" s="1" t="s">
        <v>2</v>
      </c>
      <c r="K34" s="1"/>
      <c r="L34" s="1"/>
      <c r="M34" s="1"/>
      <c r="N34" s="1"/>
      <c r="O34" s="1"/>
    </row>
    <row r="35" spans="10:15" x14ac:dyDescent="0.25">
      <c r="J35" s="1"/>
      <c r="K35" s="1" t="s">
        <v>0</v>
      </c>
      <c r="L35" s="1" t="s">
        <v>1</v>
      </c>
      <c r="M35" s="1"/>
      <c r="N35" s="1"/>
      <c r="O35" s="1"/>
    </row>
    <row r="36" spans="10:15" x14ac:dyDescent="0.25">
      <c r="J36" s="1" t="s">
        <v>3</v>
      </c>
      <c r="K36" s="1">
        <v>15</v>
      </c>
      <c r="L36" s="1">
        <v>15.036</v>
      </c>
      <c r="M36" s="1"/>
      <c r="N36" s="1"/>
      <c r="O36" s="1"/>
    </row>
    <row r="37" spans="10:15" x14ac:dyDescent="0.25">
      <c r="J37" s="1" t="s">
        <v>4</v>
      </c>
      <c r="K37" s="1">
        <v>-15</v>
      </c>
      <c r="L37" s="1">
        <v>-15.079000000000001</v>
      </c>
      <c r="M37" s="1"/>
      <c r="N37" s="1"/>
      <c r="O37" s="1"/>
    </row>
    <row r="38" spans="10:15" x14ac:dyDescent="0.25">
      <c r="J38" s="1" t="s">
        <v>21</v>
      </c>
      <c r="K38" s="1" t="s">
        <v>29</v>
      </c>
      <c r="L38" s="1"/>
      <c r="M38" s="1"/>
      <c r="N38" s="1"/>
      <c r="O38" s="1"/>
    </row>
    <row r="39" spans="10:15" x14ac:dyDescent="0.25">
      <c r="J39" s="1" t="s">
        <v>9</v>
      </c>
      <c r="K39" s="1" t="s">
        <v>38</v>
      </c>
      <c r="L39" s="1"/>
      <c r="M39" s="1"/>
      <c r="N39" s="1"/>
      <c r="O39" s="1"/>
    </row>
    <row r="40" spans="10:15" x14ac:dyDescent="0.25">
      <c r="J40" s="1" t="s">
        <v>22</v>
      </c>
      <c r="K40" s="1"/>
      <c r="L40" s="1">
        <v>0</v>
      </c>
    </row>
    <row r="41" spans="10:15" x14ac:dyDescent="0.25">
      <c r="J41" s="1" t="s">
        <v>23</v>
      </c>
      <c r="K41" s="1"/>
      <c r="L41" s="1">
        <v>-2.2559999999999998</v>
      </c>
    </row>
    <row r="42" spans="10:15" x14ac:dyDescent="0.25">
      <c r="J42" s="1" t="s">
        <v>24</v>
      </c>
      <c r="K42" s="1"/>
      <c r="L42" s="1"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Balbale</dc:creator>
  <cp:lastModifiedBy>Sean Balbale</cp:lastModifiedBy>
  <dcterms:created xsi:type="dcterms:W3CDTF">2015-06-05T18:17:20Z</dcterms:created>
  <dcterms:modified xsi:type="dcterms:W3CDTF">2025-11-07T20:22:49Z</dcterms:modified>
</cp:coreProperties>
</file>